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i\OneDrive\Work\Pyxll\common\excel\"/>
    </mc:Choice>
  </mc:AlternateContent>
  <xr:revisionPtr revIDLastSave="169" documentId="8_{CBC3A950-7A86-4653-B395-D2A37ED6E9A7}" xr6:coauthVersionLast="43" xr6:coauthVersionMax="43" xr10:uidLastSave="{8B194E33-CBCA-4A08-A1FB-8150E06316F8}"/>
  <bookViews>
    <workbookView xWindow="0" yWindow="2325" windowWidth="11475" windowHeight="15840" activeTab="1" xr2:uid="{3B298169-127F-4BC2-98C0-39FF462CB9EE}"/>
  </bookViews>
  <sheets>
    <sheet name="Name Manager" sheetId="1" r:id="rId1"/>
    <sheet name="Data" sheetId="2" r:id="rId2"/>
  </sheets>
  <definedNames>
    <definedName name="data_cfg">Data!$J$9</definedName>
    <definedName name="data_cfg_path">Data!$J$8</definedName>
    <definedName name="data_load_modules">Data!$J$12</definedName>
    <definedName name="data_manager">Data!$J$14</definedName>
    <definedName name="data_model_mode">Data!$J$11</definedName>
    <definedName name="data_nqueries">Data!$E$20</definedName>
    <definedName name="data_nservers">Data!$G$1</definedName>
    <definedName name="data_pyxll_flag">Data!$J$7</definedName>
    <definedName name="data_queries">Data!$A$21:INDEX(Data!$E$21:$E$99, data_nqueries+1)</definedName>
    <definedName name="data_servers">Data!$A$2:INDEX(Data!$G$2:'Data'!$G$11, data_nservers+1)</definedName>
    <definedName name="data_set_shape_start">Data!$F$22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2" l="1"/>
  <c r="J14" i="2"/>
  <c r="E9" i="1" l="1"/>
  <c r="G1" i="2"/>
  <c r="J20" i="2"/>
</calcChain>
</file>

<file path=xl/sharedStrings.xml><?xml version="1.0" encoding="utf-8"?>
<sst xmlns="http://schemas.openxmlformats.org/spreadsheetml/2006/main" count="134" uniqueCount="94">
  <si>
    <t>SQL Connection</t>
  </si>
  <si>
    <t>Connection Settings</t>
  </si>
  <si>
    <t>db</t>
  </si>
  <si>
    <t>server</t>
  </si>
  <si>
    <t>driver</t>
  </si>
  <si>
    <t>port</t>
  </si>
  <si>
    <t>user</t>
  </si>
  <si>
    <t>pwd</t>
  </si>
  <si>
    <t>auth</t>
  </si>
  <si>
    <t>syntax_processed</t>
  </si>
  <si>
    <t>syntax-dev-sql.database.windows.net</t>
  </si>
  <si>
    <t>{ODBC Driver 17 for SQL Server}</t>
  </si>
  <si>
    <t>ALLSQUARE_USERNAME</t>
  </si>
  <si>
    <t>ALLSQUARE_PASSWORD</t>
  </si>
  <si>
    <t>ActiveDirectoryPassword</t>
  </si>
  <si>
    <t>syntax_dev</t>
  </si>
  <si>
    <t>syntax_dev_hist</t>
  </si>
  <si>
    <t>stg_cg_export</t>
  </si>
  <si>
    <t>Path</t>
  </si>
  <si>
    <t>Config</t>
  </si>
  <si>
    <t>Model Mode</t>
  </si>
  <si>
    <t>dev</t>
  </si>
  <si>
    <t>Data Manager</t>
  </si>
  <si>
    <t>name</t>
  </si>
  <si>
    <t>query</t>
  </si>
  <si>
    <t>filter</t>
  </si>
  <si>
    <t>function_call</t>
  </si>
  <si>
    <t>shape</t>
  </si>
  <si>
    <t>Section_Well</t>
  </si>
  <si>
    <t>SELECT 
api,
trsm_heh,
allocation,
proxy_allocation,
footage,
footage/proxy_allocation as total_footage
FROM dbo.index_well_land
where proxy_allocation is not null
and use_for_allocation = 1 
and trsm_heh in sections;</t>
  </si>
  <si>
    <t>sections</t>
  </si>
  <si>
    <t>get_data</t>
  </si>
  <si>
    <t>Section</t>
  </si>
  <si>
    <t>SELECT
trsm_heh,
cartesian_x as x,
cartesian_y as y,
section_acres as acres
FROM dbo.index_ok_sections_nad83_polygon;</t>
  </si>
  <si>
    <t>Monthly</t>
  </si>
  <si>
    <t>SELECT
 API as api,
 reporting_date as prod_date,
 oil_gross_volume as oil,
 gas_gross_volume as gas
FROM dbo.v_adi_production_monthly
WHERE api in apis;</t>
  </si>
  <si>
    <t>apis</t>
  </si>
  <si>
    <t>get_production_data</t>
  </si>
  <si>
    <t>Increased_Density</t>
  </si>
  <si>
    <t>SELECT
 [Cause Number] as cause_number,
 Legal as trsm_heh,
 [Number of Additional Wells] as nwells,
 [Order Type] as order_type,
 [App or Order] as app_order,
 [Order Type] as order_type,
 [date_app] as app_date,
 [date_order] as order_date
FROM  dbo.reg_id
WHERE Legal in sections;</t>
  </si>
  <si>
    <t>get_timing_data</t>
  </si>
  <si>
    <t>f1000</t>
  </si>
  <si>
    <t>SELECT
 api_syntax as api,
 well_name_occ as well_name,  '' as operator,
 date_effective as permit_date
FROM dbo.w_occ_1000
WHERE trsm_heh in sections;</t>
  </si>
  <si>
    <t>f1001</t>
  </si>
  <si>
    <t>SELECT
 api_syntax as api,
 well_name_occ as well_name,
 '' as operator,
 date_effective as spud_date
FROM dbo.w_occ_1001
WHERE trsm_heh in sections;</t>
  </si>
  <si>
    <t>f1002</t>
  </si>
  <si>
    <t>SELECT
 api,
 operator_name as operator,
 well_name,
 total_depth,
 well_completion,
 first_production_date,
 form_name as formation
FROM dbo.v_adi_rnorm
WHERE api in apis;</t>
  </si>
  <si>
    <t>Spacing</t>
  </si>
  <si>
    <t>SELECT 
*
 from
(SELECT
Township + '-' + Range + ',' + RIGHT('0' + RTRIM(LTRIM(STR(Section))), 2) + ' ' + Meridian as trsm_heh,
[Cause Number] as cause_number,
[Order Number] as order_number,
[App or Order] as app_order,
[Order Type] as order_type,
Applicant as applicant,
CONVERT(varchar, [date_app], 23) as app_date ,
CONVERT(varchar, [date_order], 23) as order_date,
[Is Multi Unit] as is_multi_unit,
[Quarter Call] as included,
Formation as formation, Allocation as allocation
FROM dbo.reg_spacing) A WHERE A.trsm_heh in sections AND (app_date &gt; spacing_start_date OR order_date &gt; spacing_start_date);</t>
  </si>
  <si>
    <t>sections|spacing_start_date</t>
  </si>
  <si>
    <t>Pooling</t>
  </si>
  <si>
    <t>SELECT 
*
 from
(SELECT
Township + '-' + Range + ',' + RIGHT('0' + RTRIM(LTRIM(STR(Section))), 2) + ' ' + Meridian as trsm_heh,
[Cause Number] as cause_number,
[Order Number] as order_number,
[App or Order] as app_order,
[Order Type] as order_type,
Applicant as applicant,
CONVERT(varchar, [date_order], 23) as order_date,
CONVERT(varchar, [date_app], 23) as app_date ,
Formation as formation
FROM dbo.reg_pooling) A
WHERE A.trsm_heh in sections
AND (app_date &gt; pooling_start_date OR order_date &gt; pooling_start_date);</t>
  </si>
  <si>
    <t>sections|pooling_start_date</t>
  </si>
  <si>
    <t>Oil_Price</t>
  </si>
  <si>
    <t>SELECT
MIN(month) as date,
AVG(oil_price) as price
FROM dbo.price_future_oil
WHERE name = 'Crude Oil Futures Settlements'
GROUP BY month
ORDER BY month;</t>
  </si>
  <si>
    <t>Gas_Price</t>
  </si>
  <si>
    <t>SELECT
MIN(month) as date,
AVG(gas_price) as price
FROM dbo.price_future_gas
WHERE name = 'Henry Hub Natural Gas Futures Settlements'
GROUP BY month
ORDER BY month;</t>
  </si>
  <si>
    <t>Market</t>
  </si>
  <si>
    <t>SELECT
trsm_heh,
tract_dollars_per_acre as market_price
FROM dbo.m_enrichment
WHERE  tract_dollars_per_acre &gt; 0
AND instrument_date &gt;  market_start_date;</t>
  </si>
  <si>
    <t>market_start_date</t>
  </si>
  <si>
    <t>get_market_data</t>
  </si>
  <si>
    <t>Name</t>
  </si>
  <si>
    <t>Reference</t>
  </si>
  <si>
    <t>Shortcut</t>
  </si>
  <si>
    <t>Alt - M S P,Alt L</t>
  </si>
  <si>
    <t>Count</t>
  </si>
  <si>
    <t>sql_manager</t>
  </si>
  <si>
    <t>sql_model_mode</t>
  </si>
  <si>
    <t>sql_nqueries</t>
  </si>
  <si>
    <t>sql_nservers</t>
  </si>
  <si>
    <t>sql_queries</t>
  </si>
  <si>
    <t>sql_servers</t>
  </si>
  <si>
    <t>sql_set_shape_start</t>
  </si>
  <si>
    <t>Load Modules</t>
  </si>
  <si>
    <t>common</t>
  </si>
  <si>
    <t>=Data!$J$9</t>
  </si>
  <si>
    <t>=Data!$J$8</t>
  </si>
  <si>
    <t>=Data!$J$14</t>
  </si>
  <si>
    <t>=Data!$J$12</t>
  </si>
  <si>
    <t>=Data!$J$13</t>
  </si>
  <si>
    <t>=Data!$J$11</t>
  </si>
  <si>
    <t>=Data!$E$20</t>
  </si>
  <si>
    <t>=Data!$G$1</t>
  </si>
  <si>
    <t>=Data!$A$21:INDEX(Data!$E$21:$E$99, sql_nqueries+1)</t>
  </si>
  <si>
    <t>=Data!$A$2:INDEX(Data!$G$2:Data!$G$11, sql_nservers+1)</t>
  </si>
  <si>
    <t>=Data!$F$22</t>
  </si>
  <si>
    <t>Pyxll</t>
  </si>
  <si>
    <t>C:\Users\adi\OneDrive\Work\Pyxll\common\generic_config.ini</t>
  </si>
  <si>
    <t>data_cfg</t>
  </si>
  <si>
    <t>data_cfg_path</t>
  </si>
  <si>
    <t>data_load_modules</t>
  </si>
  <si>
    <t>data_manager</t>
  </si>
  <si>
    <t>data_pyxll_flag</t>
  </si>
  <si>
    <t>=Data!$J$7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</si>
</sst>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14" fontId="5" fillId="0" borderId="1" xfId="0" applyNumberFormat="1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top" wrapText="1"/>
    </xf>
    <xf numFmtId="14" fontId="0" fillId="0" borderId="0" xfId="0" applyNumberFormat="1"/>
    <xf numFmtId="0" fontId="1" fillId="2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C98F-D394-4DB4-8187-B9378775460D}">
  <sheetPr codeName="Sheet2"/>
  <dimension ref="A1:E13"/>
  <sheetViews>
    <sheetView workbookViewId="0">
      <selection activeCell="A2" sqref="A2:B13"/>
    </sheetView>
  </sheetViews>
  <sheetFormatPr defaultRowHeight="15" x14ac:dyDescent="0.25"/>
  <cols>
    <col min="1" max="1" width="20.5703125" customWidth="1"/>
    <col min="2" max="2" width="58.42578125" bestFit="1" customWidth="1"/>
  </cols>
  <sheetData>
    <row r="1" spans="1:5" x14ac:dyDescent="0.25">
      <c r="A1" s="14" t="s">
        <v>61</v>
      </c>
      <c r="B1" s="14" t="s">
        <v>62</v>
      </c>
    </row>
    <row r="2" spans="1:5" x14ac:dyDescent="0.25">
      <c r="A2" t="s">
        <v>88</v>
      </c>
      <c r="B2" t="s">
        <v>75</v>
      </c>
    </row>
    <row r="3" spans="1:5" x14ac:dyDescent="0.25">
      <c r="A3" t="s">
        <v>89</v>
      </c>
      <c r="B3" t="s">
        <v>76</v>
      </c>
    </row>
    <row r="4" spans="1:5" x14ac:dyDescent="0.25">
      <c r="A4" t="s">
        <v>90</v>
      </c>
      <c r="B4" t="s">
        <v>78</v>
      </c>
    </row>
    <row r="5" spans="1:5" x14ac:dyDescent="0.25">
      <c r="A5" t="s">
        <v>91</v>
      </c>
      <c r="B5" t="s">
        <v>77</v>
      </c>
      <c r="E5" s="2" t="s">
        <v>63</v>
      </c>
    </row>
    <row r="6" spans="1:5" x14ac:dyDescent="0.25">
      <c r="A6" t="s">
        <v>92</v>
      </c>
      <c r="B6" t="s">
        <v>93</v>
      </c>
      <c r="E6" s="15" t="s">
        <v>64</v>
      </c>
    </row>
    <row r="7" spans="1:5" x14ac:dyDescent="0.25">
      <c r="A7" t="s">
        <v>66</v>
      </c>
      <c r="B7" t="s">
        <v>79</v>
      </c>
      <c r="E7" s="15"/>
    </row>
    <row r="8" spans="1:5" x14ac:dyDescent="0.25">
      <c r="A8" t="s">
        <v>67</v>
      </c>
      <c r="B8" t="s">
        <v>80</v>
      </c>
      <c r="E8" s="2" t="s">
        <v>65</v>
      </c>
    </row>
    <row r="9" spans="1:5" x14ac:dyDescent="0.25">
      <c r="A9" t="s">
        <v>68</v>
      </c>
      <c r="B9" t="s">
        <v>81</v>
      </c>
      <c r="E9" s="15">
        <f>COUNTA(A:A)-1</f>
        <v>12</v>
      </c>
    </row>
    <row r="10" spans="1:5" x14ac:dyDescent="0.25">
      <c r="A10" t="s">
        <v>69</v>
      </c>
      <c r="B10" t="s">
        <v>82</v>
      </c>
    </row>
    <row r="11" spans="1:5" x14ac:dyDescent="0.25">
      <c r="A11" t="s">
        <v>70</v>
      </c>
      <c r="B11" t="s">
        <v>83</v>
      </c>
    </row>
    <row r="12" spans="1:5" x14ac:dyDescent="0.25">
      <c r="A12" t="s">
        <v>71</v>
      </c>
      <c r="B12" t="s">
        <v>84</v>
      </c>
    </row>
    <row r="13" spans="1:5" x14ac:dyDescent="0.25">
      <c r="A13" t="s">
        <v>72</v>
      </c>
      <c r="B13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A2938-B3E3-4C63-B7C7-D5D232BD09A6}">
  <sheetPr codeName="Sheet1">
    <tabColor theme="5" tint="-0.499984740745262"/>
  </sheetPr>
  <dimension ref="A1:J34"/>
  <sheetViews>
    <sheetView tabSelected="1" workbookViewId="0">
      <selection activeCell="E30" sqref="E30"/>
    </sheetView>
  </sheetViews>
  <sheetFormatPr defaultRowHeight="15" x14ac:dyDescent="0.25"/>
  <cols>
    <col min="1" max="1" width="45" customWidth="1"/>
    <col min="2" max="2" width="31.140625" bestFit="1" customWidth="1"/>
    <col min="3" max="3" width="18.7109375" bestFit="1" customWidth="1"/>
    <col min="4" max="4" width="16.7109375" bestFit="1" customWidth="1"/>
    <col min="5" max="5" width="26.140625" bestFit="1" customWidth="1"/>
    <col min="6" max="7" width="21" bestFit="1" customWidth="1"/>
    <col min="9" max="9" width="12.7109375" customWidth="1"/>
    <col min="10" max="10" width="52" bestFit="1" customWidth="1"/>
  </cols>
  <sheetData>
    <row r="1" spans="1:10" x14ac:dyDescent="0.25">
      <c r="A1" s="1" t="s">
        <v>0</v>
      </c>
      <c r="B1" s="2"/>
      <c r="C1" s="2"/>
      <c r="D1" s="1" t="s">
        <v>1</v>
      </c>
      <c r="E1" s="2"/>
      <c r="F1" s="2"/>
      <c r="G1" s="3">
        <f>COUNTA(Data!A3:A19)</f>
        <v>4</v>
      </c>
    </row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5" t="s">
        <v>8</v>
      </c>
    </row>
    <row r="3" spans="1:10" x14ac:dyDescent="0.25">
      <c r="A3" s="6" t="s">
        <v>9</v>
      </c>
      <c r="B3" s="6" t="s">
        <v>10</v>
      </c>
      <c r="C3" s="6" t="s">
        <v>11</v>
      </c>
      <c r="D3" s="6">
        <v>1443</v>
      </c>
      <c r="E3" s="6" t="s">
        <v>12</v>
      </c>
      <c r="F3" s="6" t="s">
        <v>13</v>
      </c>
      <c r="G3" s="6" t="s">
        <v>14</v>
      </c>
    </row>
    <row r="4" spans="1:10" x14ac:dyDescent="0.25">
      <c r="A4" s="6" t="s">
        <v>15</v>
      </c>
      <c r="B4" s="6" t="s">
        <v>10</v>
      </c>
      <c r="C4" s="6" t="s">
        <v>11</v>
      </c>
      <c r="D4" s="6">
        <v>1443</v>
      </c>
      <c r="E4" s="6" t="s">
        <v>12</v>
      </c>
      <c r="F4" s="6" t="s">
        <v>13</v>
      </c>
      <c r="G4" s="6" t="s">
        <v>14</v>
      </c>
    </row>
    <row r="5" spans="1:10" x14ac:dyDescent="0.25">
      <c r="A5" s="6" t="s">
        <v>16</v>
      </c>
      <c r="B5" s="6" t="s">
        <v>10</v>
      </c>
      <c r="C5" s="6" t="s">
        <v>11</v>
      </c>
      <c r="D5" s="6">
        <v>1443</v>
      </c>
      <c r="E5" s="6" t="s">
        <v>12</v>
      </c>
      <c r="F5" s="6" t="s">
        <v>13</v>
      </c>
      <c r="G5" s="6" t="s">
        <v>14</v>
      </c>
    </row>
    <row r="6" spans="1:10" ht="18" customHeight="1" x14ac:dyDescent="0.25">
      <c r="A6" s="6" t="s">
        <v>17</v>
      </c>
      <c r="B6" s="6" t="s">
        <v>10</v>
      </c>
      <c r="C6" s="6" t="s">
        <v>11</v>
      </c>
      <c r="D6" s="6">
        <v>1443</v>
      </c>
      <c r="E6" s="6" t="s">
        <v>12</v>
      </c>
      <c r="F6" s="6" t="s">
        <v>13</v>
      </c>
      <c r="G6" s="6" t="s">
        <v>14</v>
      </c>
    </row>
    <row r="7" spans="1:10" ht="15" customHeight="1" x14ac:dyDescent="0.25">
      <c r="I7" s="2" t="s">
        <v>86</v>
      </c>
      <c r="J7" s="3" t="b">
        <v>1</v>
      </c>
    </row>
    <row r="8" spans="1:10" x14ac:dyDescent="0.25">
      <c r="I8" s="2" t="s">
        <v>18</v>
      </c>
      <c r="J8" s="3" t="s">
        <v>87</v>
      </c>
    </row>
    <row r="9" spans="1:10" x14ac:dyDescent="0.25">
      <c r="I9" s="2" t="s">
        <v>19</v>
      </c>
      <c r="J9" s="4"/>
    </row>
    <row r="10" spans="1:10" x14ac:dyDescent="0.25">
      <c r="C10" s="7"/>
      <c r="E10" s="7"/>
    </row>
    <row r="11" spans="1:10" x14ac:dyDescent="0.25">
      <c r="C11" s="7"/>
      <c r="E11" s="8"/>
      <c r="I11" s="2" t="s">
        <v>20</v>
      </c>
      <c r="J11" s="3" t="s">
        <v>21</v>
      </c>
    </row>
    <row r="12" spans="1:10" x14ac:dyDescent="0.25">
      <c r="C12" s="7"/>
      <c r="E12" s="7"/>
      <c r="I12" s="9" t="s">
        <v>73</v>
      </c>
      <c r="J12" s="3" t="s">
        <v>74</v>
      </c>
    </row>
    <row r="14" spans="1:10" x14ac:dyDescent="0.25">
      <c r="I14" s="9" t="s">
        <v>22</v>
      </c>
      <c r="J14" s="4" t="str">
        <f>_xll.create_data_manager()</f>
        <v>DataManager@1</v>
      </c>
    </row>
    <row r="15" spans="1:10" ht="15" customHeight="1" x14ac:dyDescent="0.25"/>
    <row r="16" spans="1:10" ht="15" customHeight="1" x14ac:dyDescent="0.25"/>
    <row r="17" spans="1:10" ht="15" customHeight="1" x14ac:dyDescent="0.25"/>
    <row r="18" spans="1:10" ht="15" customHeight="1" x14ac:dyDescent="0.25"/>
    <row r="19" spans="1:10" ht="15" customHeight="1" x14ac:dyDescent="0.25"/>
    <row r="20" spans="1:10" ht="15" customHeight="1" x14ac:dyDescent="0.25">
      <c r="A20" s="2"/>
      <c r="B20" s="2"/>
      <c r="C20" s="2"/>
      <c r="D20" s="2"/>
      <c r="E20" s="3">
        <f>COUNTA(B22:B2000)</f>
        <v>12</v>
      </c>
      <c r="J20" t="str">
        <f>_xll.load_data_name(data_manager, "Section")</f>
        <v>(71068, 4)</v>
      </c>
    </row>
    <row r="21" spans="1:10" ht="15" customHeight="1" x14ac:dyDescent="0.25">
      <c r="A21" s="4" t="s">
        <v>23</v>
      </c>
      <c r="B21" s="4" t="s">
        <v>2</v>
      </c>
      <c r="C21" s="4" t="s">
        <v>24</v>
      </c>
      <c r="D21" s="4" t="s">
        <v>25</v>
      </c>
      <c r="E21" s="4" t="s">
        <v>26</v>
      </c>
      <c r="F21" s="4" t="s">
        <v>27</v>
      </c>
    </row>
    <row r="22" spans="1:10" ht="15" customHeight="1" x14ac:dyDescent="0.25">
      <c r="A22" s="6" t="s">
        <v>28</v>
      </c>
      <c r="B22" s="6" t="s">
        <v>17</v>
      </c>
      <c r="C22" s="10" t="s">
        <v>29</v>
      </c>
      <c r="D22" s="6" t="s">
        <v>30</v>
      </c>
      <c r="E22" s="6" t="s">
        <v>31</v>
      </c>
      <c r="F22" s="11"/>
    </row>
    <row r="23" spans="1:10" ht="15" customHeight="1" x14ac:dyDescent="0.25">
      <c r="A23" s="6" t="s">
        <v>32</v>
      </c>
      <c r="B23" s="6" t="s">
        <v>17</v>
      </c>
      <c r="C23" s="12" t="s">
        <v>33</v>
      </c>
      <c r="D23" s="6"/>
      <c r="E23" s="6" t="s">
        <v>31</v>
      </c>
      <c r="F23" s="11"/>
      <c r="G23" s="13"/>
    </row>
    <row r="24" spans="1:10" ht="15" customHeight="1" x14ac:dyDescent="0.25">
      <c r="A24" s="6" t="s">
        <v>34</v>
      </c>
      <c r="B24" s="6" t="s">
        <v>17</v>
      </c>
      <c r="C24" s="12" t="s">
        <v>35</v>
      </c>
      <c r="D24" s="6" t="s">
        <v>36</v>
      </c>
      <c r="E24" s="6" t="s">
        <v>37</v>
      </c>
      <c r="F24" s="11"/>
    </row>
    <row r="25" spans="1:10" ht="15" customHeight="1" x14ac:dyDescent="0.25">
      <c r="A25" s="6" t="s">
        <v>38</v>
      </c>
      <c r="B25" s="6" t="s">
        <v>16</v>
      </c>
      <c r="C25" s="12" t="s">
        <v>39</v>
      </c>
      <c r="D25" s="6" t="s">
        <v>30</v>
      </c>
      <c r="E25" s="6" t="s">
        <v>40</v>
      </c>
      <c r="F25" s="11"/>
    </row>
    <row r="26" spans="1:10" ht="15" customHeight="1" x14ac:dyDescent="0.25">
      <c r="A26" s="6" t="s">
        <v>41</v>
      </c>
      <c r="B26" s="6" t="s">
        <v>9</v>
      </c>
      <c r="C26" s="12" t="s">
        <v>42</v>
      </c>
      <c r="D26" s="6" t="s">
        <v>30</v>
      </c>
      <c r="E26" s="6" t="s">
        <v>40</v>
      </c>
      <c r="F26" s="11"/>
    </row>
    <row r="27" spans="1:10" ht="15" customHeight="1" x14ac:dyDescent="0.25">
      <c r="A27" s="6" t="s">
        <v>43</v>
      </c>
      <c r="B27" s="6" t="s">
        <v>9</v>
      </c>
      <c r="C27" s="12" t="s">
        <v>44</v>
      </c>
      <c r="D27" s="6" t="s">
        <v>30</v>
      </c>
      <c r="E27" s="6" t="s">
        <v>40</v>
      </c>
      <c r="F27" s="11"/>
    </row>
    <row r="28" spans="1:10" ht="15" customHeight="1" x14ac:dyDescent="0.25">
      <c r="A28" s="6" t="s">
        <v>45</v>
      </c>
      <c r="B28" s="6" t="s">
        <v>17</v>
      </c>
      <c r="C28" s="12" t="s">
        <v>46</v>
      </c>
      <c r="D28" s="6" t="s">
        <v>36</v>
      </c>
      <c r="E28" s="6" t="s">
        <v>40</v>
      </c>
      <c r="F28" s="11"/>
    </row>
    <row r="29" spans="1:10" ht="15" customHeight="1" x14ac:dyDescent="0.25">
      <c r="A29" s="6" t="s">
        <v>47</v>
      </c>
      <c r="B29" s="6" t="s">
        <v>16</v>
      </c>
      <c r="C29" s="12" t="s">
        <v>48</v>
      </c>
      <c r="D29" s="6" t="s">
        <v>49</v>
      </c>
      <c r="E29" s="6" t="s">
        <v>40</v>
      </c>
      <c r="F29" s="11"/>
    </row>
    <row r="30" spans="1:10" ht="15" customHeight="1" x14ac:dyDescent="0.25">
      <c r="A30" s="6" t="s">
        <v>50</v>
      </c>
      <c r="B30" s="6" t="s">
        <v>16</v>
      </c>
      <c r="C30" s="12" t="s">
        <v>51</v>
      </c>
      <c r="D30" s="6" t="s">
        <v>52</v>
      </c>
      <c r="E30" s="6" t="s">
        <v>40</v>
      </c>
      <c r="F30" s="11"/>
    </row>
    <row r="31" spans="1:10" ht="15" customHeight="1" x14ac:dyDescent="0.25">
      <c r="A31" s="6" t="s">
        <v>53</v>
      </c>
      <c r="B31" s="6" t="s">
        <v>17</v>
      </c>
      <c r="C31" s="10" t="s">
        <v>54</v>
      </c>
      <c r="D31" s="6"/>
      <c r="E31" s="6" t="s">
        <v>31</v>
      </c>
      <c r="F31" s="11"/>
    </row>
    <row r="32" spans="1:10" ht="15" customHeight="1" x14ac:dyDescent="0.25">
      <c r="A32" s="6" t="s">
        <v>55</v>
      </c>
      <c r="B32" s="6" t="s">
        <v>17</v>
      </c>
      <c r="C32" s="12" t="s">
        <v>56</v>
      </c>
      <c r="D32" s="6"/>
      <c r="E32" s="6" t="s">
        <v>31</v>
      </c>
      <c r="F32" s="11"/>
    </row>
    <row r="33" spans="1:6" ht="15" customHeight="1" x14ac:dyDescent="0.25">
      <c r="A33" s="6" t="s">
        <v>57</v>
      </c>
      <c r="B33" s="6" t="s">
        <v>17</v>
      </c>
      <c r="C33" s="12" t="s">
        <v>58</v>
      </c>
      <c r="D33" s="6" t="s">
        <v>59</v>
      </c>
      <c r="E33" s="6" t="s">
        <v>60</v>
      </c>
      <c r="F33" s="11"/>
    </row>
    <row r="34" spans="1:6" ht="15" customHeight="1" x14ac:dyDescent="0.25"/>
  </sheetData>
  <conditionalFormatting sqref="A20:D20">
    <cfRule type="duplicateValues" dxfId="5" priority="6"/>
  </conditionalFormatting>
  <conditionalFormatting sqref="D1:F1 A1:B1">
    <cfRule type="duplicateValues" dxfId="4" priority="5"/>
  </conditionalFormatting>
  <conditionalFormatting sqref="I8:I9 I11:I12">
    <cfRule type="duplicateValues" dxfId="3" priority="4"/>
  </conditionalFormatting>
  <conditionalFormatting sqref="C1">
    <cfRule type="duplicateValues" dxfId="2" priority="3"/>
  </conditionalFormatting>
  <conditionalFormatting sqref="I14">
    <cfRule type="duplicateValues" dxfId="1" priority="2"/>
  </conditionalFormatting>
  <conditionalFormatting sqref="I7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Name Manager</vt:lpstr>
      <vt:lpstr>Data</vt:lpstr>
      <vt:lpstr>data_cfg</vt:lpstr>
      <vt:lpstr>data_cfg_path</vt:lpstr>
      <vt:lpstr>data_load_modules</vt:lpstr>
      <vt:lpstr>data_manager</vt:lpstr>
      <vt:lpstr>data_model_mode</vt:lpstr>
      <vt:lpstr>data_nqueries</vt:lpstr>
      <vt:lpstr>data_nservers</vt:lpstr>
      <vt:lpstr>data_pyxll_flag</vt:lpstr>
      <vt:lpstr>data_set_shape_start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</dc:creator>
  <cp:lastModifiedBy>adi</cp:lastModifiedBy>
  <dcterms:created xsi:type="dcterms:W3CDTF">2019-05-15T16:49:32Z</dcterms:created>
  <dcterms:modified xsi:type="dcterms:W3CDTF">2019-05-17T19:15:05Z</dcterms:modified>
</cp:coreProperties>
</file>